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📈 TRM Histórica" sheetId="2" state="visible" r:id="rId2"/>
    <sheet xmlns:r="http://schemas.openxmlformats.org/officeDocument/2006/relationships" name="👤 Inversionistas" sheetId="3" state="visible" r:id="rId3"/>
    <sheet xmlns:r="http://schemas.openxmlformats.org/officeDocument/2006/relationships" name="💼 Operaciones" sheetId="4" state="visible" r:id="rId4"/>
    <sheet xmlns:r="http://schemas.openxmlformats.org/officeDocument/2006/relationships" name="🔔 Aler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60">
    <font>
      <name val="Calibri"/>
      <family val="2"/>
      <color theme="1"/>
      <sz val="11"/>
      <scheme val="minor"/>
    </font>
    <font>
      <name val="Arial"/>
      <b val="1"/>
      <color rgb="004F7CFF"/>
      <sz val="16"/>
    </font>
    <font>
      <name val="Arial"/>
      <i val="1"/>
      <color rgb="008B90A0"/>
      <sz val="10"/>
    </font>
    <font>
      <name val="Arial"/>
      <b val="1"/>
      <color rgb="004F7CFF"/>
      <sz val="8"/>
    </font>
    <font>
      <name val="Consolas"/>
      <b val="1"/>
      <color rgb="004F7CFF"/>
      <sz val="18"/>
    </font>
    <font>
      <color rgb="004F7CFF"/>
      <sz val="8"/>
    </font>
    <font>
      <name val="Arial"/>
      <b val="1"/>
      <color rgb="007B5EA7"/>
      <sz val="8"/>
    </font>
    <font>
      <name val="Consolas"/>
      <b val="1"/>
      <color rgb="007B5EA7"/>
      <sz val="18"/>
    </font>
    <font>
      <color rgb="007B5EA7"/>
      <sz val="8"/>
    </font>
    <font>
      <name val="Arial"/>
      <b val="1"/>
      <color rgb="001AC9B2"/>
      <sz val="8"/>
    </font>
    <font>
      <name val="Consolas"/>
      <b val="1"/>
      <color rgb="001AC9B2"/>
      <sz val="18"/>
    </font>
    <font>
      <color rgb="001AC9B2"/>
      <sz val="8"/>
    </font>
    <font>
      <name val="Arial"/>
      <b val="1"/>
      <color rgb="002ECC8F"/>
      <sz val="8"/>
    </font>
    <font>
      <name val="Consolas"/>
      <b val="1"/>
      <color rgb="002ECC8F"/>
      <sz val="18"/>
    </font>
    <font>
      <color rgb="002ECC8F"/>
      <sz val="8"/>
    </font>
    <font>
      <name val="Arial"/>
      <b val="1"/>
      <color rgb="00F0A500"/>
      <sz val="8"/>
    </font>
    <font>
      <name val="Consolas"/>
      <b val="1"/>
      <color rgb="00F0A500"/>
      <sz val="18"/>
    </font>
    <font>
      <color rgb="00F0A500"/>
      <sz val="8"/>
    </font>
    <font>
      <name val="Arial"/>
      <b val="1"/>
      <color rgb="00FF4D6A"/>
      <sz val="8"/>
    </font>
    <font>
      <name val="Consolas"/>
      <b val="1"/>
      <color rgb="00FF4D6A"/>
      <sz val="18"/>
    </font>
    <font>
      <color rgb="00FF4D6A"/>
      <sz val="8"/>
    </font>
    <font>
      <name val="Arial"/>
      <b val="1"/>
      <color rgb="004F7CFF"/>
      <sz val="11"/>
    </font>
    <font>
      <name val="Arial"/>
      <b val="1"/>
      <color rgb="00FFFFFF"/>
      <sz val="9"/>
    </font>
    <font>
      <name val="Consolas"/>
      <color rgb="00E8EAF0"/>
      <sz val="9"/>
    </font>
    <font>
      <name val="Consolas"/>
      <color rgb="004F7CFF"/>
      <sz val="9"/>
    </font>
    <font>
      <name val="Consolas"/>
      <color rgb="002ECC8F"/>
      <sz val="9"/>
    </font>
    <font>
      <name val="Consolas"/>
      <color rgb="00F0A500"/>
      <sz val="9"/>
    </font>
    <font>
      <name val="Consolas"/>
      <color rgb="00FF4D6A"/>
      <sz val="9"/>
    </font>
    <font>
      <name val="Arial"/>
      <b val="1"/>
      <color rgb="007B5EA7"/>
      <sz val="11"/>
    </font>
    <font>
      <name val="Consolas"/>
      <color rgb="007B5EA7"/>
      <sz val="9"/>
    </font>
    <font>
      <name val="Consolas"/>
      <color rgb="008B90A0"/>
      <sz val="9"/>
    </font>
    <font>
      <name val="Arial"/>
      <b val="1"/>
      <color rgb="001AC9B2"/>
      <sz val="10"/>
    </font>
    <font>
      <name val="Arial"/>
      <color rgb="008B90A0"/>
      <sz val="9"/>
    </font>
    <font>
      <name val="Consolas"/>
      <b val="1"/>
      <color rgb="004F7CFF"/>
      <sz val="9"/>
    </font>
    <font>
      <name val="Consolas"/>
      <b val="1"/>
      <color rgb="002ECC8F"/>
      <sz val="9"/>
    </font>
    <font>
      <name val="Consolas"/>
      <b val="1"/>
      <color rgb="00FF4D6A"/>
      <sz val="9"/>
    </font>
    <font>
      <name val="Consolas"/>
      <b val="1"/>
      <color rgb="008B90A0"/>
      <sz val="9"/>
    </font>
    <font>
      <name val="Consolas"/>
      <b val="1"/>
      <color rgb="00F0A500"/>
      <sz val="9"/>
    </font>
    <font>
      <name val="Consolas"/>
      <b val="1"/>
      <color rgb="001E2130"/>
      <sz val="9"/>
    </font>
    <font>
      <name val="Consolas"/>
      <b val="1"/>
      <color rgb="007B5EA7"/>
      <sz val="9"/>
    </font>
    <font>
      <name val="Arial"/>
      <color rgb="00E8EAF0"/>
      <sz val="10"/>
    </font>
    <font>
      <name val="Arial"/>
      <color rgb="00FFFFFF"/>
      <sz val="10"/>
    </font>
    <font>
      <name val="Arial"/>
      <color rgb="002ECC8F"/>
      <sz val="10"/>
    </font>
    <font>
      <name val="Arial"/>
      <color rgb="00FF4D6A"/>
      <sz val="10"/>
    </font>
    <font>
      <name val="Arial"/>
      <color rgb="00F0A500"/>
      <sz val="10"/>
    </font>
    <font>
      <name val="Consolas"/>
      <color rgb="004F7CFF"/>
      <sz val="10"/>
    </font>
    <font>
      <name val="Arial"/>
      <color rgb="001AC9B2"/>
      <sz val="10"/>
    </font>
    <font>
      <name val="Consolas"/>
      <b val="1"/>
      <color rgb="002ECC8F"/>
      <sz val="10"/>
    </font>
    <font>
      <name val="Arial"/>
      <color rgb="004F7CFF"/>
      <sz val="10"/>
    </font>
    <font>
      <name val="Arial"/>
      <b val="1"/>
      <color rgb="002ECC8F"/>
      <sz val="10"/>
    </font>
    <font>
      <name val="Consolas"/>
      <color rgb="008B90A0"/>
      <sz val="10"/>
    </font>
    <font>
      <name val="Consolas"/>
      <color rgb="00F0A500"/>
      <sz val="10"/>
    </font>
    <font>
      <name val="Arial"/>
      <color rgb="008B90A0"/>
      <sz val="10"/>
    </font>
    <font>
      <name val="Arial"/>
      <color rgb="007B5EA7"/>
      <sz val="10"/>
    </font>
    <font>
      <name val="Consolas"/>
      <color rgb="007B5EA7"/>
      <sz val="10"/>
    </font>
    <font>
      <name val="Arial"/>
      <b val="1"/>
      <color rgb="00FF4D6A"/>
      <sz val="10"/>
    </font>
    <font>
      <name val="Arial"/>
      <b val="1"/>
      <color rgb="00F0A500"/>
      <sz val="10"/>
    </font>
    <font>
      <name val="Consolas"/>
      <b val="1"/>
      <color rgb="00F0A500"/>
      <sz val="10"/>
    </font>
    <font>
      <name val="Consolas"/>
      <b val="1"/>
      <color rgb="00FF4D6A"/>
      <sz val="10"/>
    </font>
    <font>
      <name val="Consolas"/>
      <color rgb="00FF4D6A"/>
      <sz val="10"/>
    </font>
  </fonts>
  <fills count="10">
    <fill>
      <patternFill/>
    </fill>
    <fill>
      <patternFill patternType="gray125"/>
    </fill>
    <fill>
      <patternFill patternType="solid">
        <fgColor rgb="000F1117"/>
      </patternFill>
    </fill>
    <fill>
      <patternFill patternType="solid">
        <fgColor rgb="001E2130"/>
      </patternFill>
    </fill>
    <fill>
      <patternFill patternType="solid">
        <fgColor rgb="00161820"/>
      </patternFill>
    </fill>
    <fill>
      <patternFill patternType="solid">
        <fgColor rgb="001A1D2E"/>
      </patternFill>
    </fill>
    <fill>
      <patternFill patternType="solid">
        <fgColor rgb="004F7CFF"/>
      </patternFill>
    </fill>
    <fill>
      <patternFill patternType="solid">
        <fgColor rgb="001AC9B2"/>
      </patternFill>
    </fill>
    <fill>
      <patternFill patternType="solid">
        <fgColor rgb="00F0A500"/>
      </patternFill>
    </fill>
    <fill>
      <patternFill patternType="solid">
        <fgColor rgb="00FF4D6A"/>
      </patternFill>
    </fill>
  </fills>
  <borders count="2">
    <border>
      <left/>
      <right/>
      <top/>
      <bottom/>
      <diagonal/>
    </border>
    <border>
      <left style="thin">
        <color rgb="002A2D3E"/>
      </left>
      <right style="thin">
        <color rgb="002A2D3E"/>
      </right>
      <top style="thin">
        <color rgb="002A2D3E"/>
      </top>
      <bottom style="thin">
        <color rgb="002A2D3E"/>
      </bottom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left" vertical="center"/>
    </xf>
    <xf numFmtId="0" fontId="28" fillId="2" borderId="0" applyAlignment="1" pivotButton="0" quotePrefix="0" xfId="0">
      <alignment horizontal="left" vertical="center"/>
    </xf>
    <xf numFmtId="0" fontId="22" fillId="3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164" fontId="24" fillId="4" borderId="1" applyAlignment="1" pivotButton="0" quotePrefix="0" xfId="0">
      <alignment horizontal="center" vertical="center" wrapText="1"/>
    </xf>
    <xf numFmtId="164" fontId="25" fillId="4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 wrapText="1"/>
    </xf>
    <xf numFmtId="10" fontId="25" fillId="4" borderId="1" applyAlignment="1" pivotButton="0" quotePrefix="0" xfId="0">
      <alignment horizontal="center" vertical="center" wrapText="1"/>
    </xf>
    <xf numFmtId="164" fontId="29" fillId="4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 wrapText="1"/>
    </xf>
    <xf numFmtId="164" fontId="24" fillId="5" borderId="1" applyAlignment="1" pivotButton="0" quotePrefix="0" xfId="0">
      <alignment horizontal="center" vertical="center" wrapText="1"/>
    </xf>
    <xf numFmtId="164" fontId="25" fillId="5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10" fontId="25" fillId="5" borderId="1" applyAlignment="1" pivotButton="0" quotePrefix="0" xfId="0">
      <alignment horizontal="center" vertical="center" wrapText="1"/>
    </xf>
    <xf numFmtId="164" fontId="29" fillId="5" borderId="1" applyAlignment="1" pivotButton="0" quotePrefix="0" xfId="0">
      <alignment horizontal="center" vertical="center" wrapText="1"/>
    </xf>
    <xf numFmtId="164" fontId="27" fillId="4" borderId="1" applyAlignment="1" pivotButton="0" quotePrefix="0" xfId="0">
      <alignment horizontal="center" vertical="center" wrapText="1"/>
    </xf>
    <xf numFmtId="10" fontId="27" fillId="4" borderId="1" applyAlignment="1" pivotButton="0" quotePrefix="0" xfId="0">
      <alignment horizontal="center" vertical="center" wrapText="1"/>
    </xf>
    <xf numFmtId="164" fontId="27" fillId="5" borderId="1" applyAlignment="1" pivotButton="0" quotePrefix="0" xfId="0">
      <alignment horizontal="center" vertical="center" wrapText="1"/>
    </xf>
    <xf numFmtId="10" fontId="27" fillId="5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31" fillId="3" borderId="0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center" vertical="center" wrapText="1"/>
    </xf>
    <xf numFmtId="164" fontId="30" fillId="4" borderId="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left" vertical="center"/>
    </xf>
    <xf numFmtId="0" fontId="33" fillId="3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 wrapText="1"/>
    </xf>
    <xf numFmtId="164" fontId="30" fillId="5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horizontal="center" vertical="center" wrapText="1"/>
    </xf>
    <xf numFmtId="0" fontId="35" fillId="3" borderId="1" applyAlignment="1" pivotButton="0" quotePrefix="0" xfId="0">
      <alignment horizontal="center" vertical="center" wrapText="1"/>
    </xf>
    <xf numFmtId="0" fontId="36" fillId="3" borderId="1" applyAlignment="1" pivotButton="0" quotePrefix="0" xfId="0">
      <alignment horizontal="center" vertical="center" wrapText="1"/>
    </xf>
    <xf numFmtId="0" fontId="37" fillId="3" borderId="1" applyAlignment="1" pivotButton="0" quotePrefix="0" xfId="0">
      <alignment horizontal="center" vertical="center" wrapText="1"/>
    </xf>
    <xf numFmtId="0" fontId="38" fillId="3" borderId="1" applyAlignment="1" pivotButton="0" quotePrefix="0" xfId="0">
      <alignment horizontal="center" vertical="center" wrapText="1"/>
    </xf>
    <xf numFmtId="0" fontId="39" fillId="3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center" vertical="center" wrapText="1"/>
    </xf>
    <xf numFmtId="0" fontId="40" fillId="4" borderId="1" applyAlignment="1" pivotButton="0" quotePrefix="0" xfId="0">
      <alignment horizontal="center" vertical="center" wrapText="1"/>
    </xf>
    <xf numFmtId="0" fontId="41" fillId="4" borderId="1" applyAlignment="1" pivotButton="0" quotePrefix="0" xfId="0">
      <alignment horizontal="left" vertical="center"/>
    </xf>
    <xf numFmtId="3" fontId="42" fillId="4" borderId="1" applyAlignment="1" pivotButton="0" quotePrefix="0" xfId="0">
      <alignment horizontal="center" vertical="center" wrapText="1"/>
    </xf>
    <xf numFmtId="0" fontId="43" fillId="4" borderId="1" applyAlignment="1" pivotButton="0" quotePrefix="0" xfId="0">
      <alignment horizontal="center" vertical="center" wrapText="1"/>
    </xf>
    <xf numFmtId="10" fontId="43" fillId="4" borderId="1" applyAlignment="1" pivotButton="0" quotePrefix="0" xfId="0">
      <alignment horizontal="center" vertical="center" wrapText="1"/>
    </xf>
    <xf numFmtId="3" fontId="44" fillId="4" borderId="1" applyAlignment="1" pivotButton="0" quotePrefix="0" xfId="0">
      <alignment horizontal="center" vertical="center" wrapText="1"/>
    </xf>
    <xf numFmtId="4" fontId="45" fillId="4" borderId="1" applyAlignment="1" pivotButton="0" quotePrefix="0" xfId="0">
      <alignment horizontal="center" vertical="center" wrapText="1"/>
    </xf>
    <xf numFmtId="0" fontId="40" fillId="5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left" vertical="center"/>
    </xf>
    <xf numFmtId="3" fontId="42" fillId="5" borderId="1" applyAlignment="1" pivotButton="0" quotePrefix="0" xfId="0">
      <alignment horizontal="center" vertical="center" wrapText="1"/>
    </xf>
    <xf numFmtId="0" fontId="46" fillId="5" borderId="1" applyAlignment="1" pivotButton="0" quotePrefix="0" xfId="0">
      <alignment horizontal="center" vertical="center" wrapText="1"/>
    </xf>
    <xf numFmtId="10" fontId="46" fillId="5" borderId="1" applyAlignment="1" pivotButton="0" quotePrefix="0" xfId="0">
      <alignment horizontal="center" vertical="center" wrapText="1"/>
    </xf>
    <xf numFmtId="3" fontId="44" fillId="5" borderId="1" applyAlignment="1" pivotButton="0" quotePrefix="0" xfId="0">
      <alignment horizontal="center" vertical="center" wrapText="1"/>
    </xf>
    <xf numFmtId="4" fontId="45" fillId="5" borderId="1" applyAlignment="1" pivotButton="0" quotePrefix="0" xfId="0">
      <alignment horizontal="center" vertical="center" wrapText="1"/>
    </xf>
    <xf numFmtId="0" fontId="44" fillId="4" borderId="1" applyAlignment="1" pivotButton="0" quotePrefix="0" xfId="0">
      <alignment horizontal="center" vertical="center" wrapText="1"/>
    </xf>
    <xf numFmtId="10" fontId="44" fillId="4" borderId="1" applyAlignment="1" pivotButton="0" quotePrefix="0" xfId="0">
      <alignment horizontal="center" vertical="center" wrapText="1"/>
    </xf>
    <xf numFmtId="0" fontId="44" fillId="5" borderId="1" applyAlignment="1" pivotButton="0" quotePrefix="0" xfId="0">
      <alignment horizontal="center" vertical="center" wrapText="1"/>
    </xf>
    <xf numFmtId="10" fontId="44" fillId="5" borderId="1" applyAlignment="1" pivotButton="0" quotePrefix="0" xfId="0">
      <alignment horizontal="center" vertical="center" wrapText="1"/>
    </xf>
    <xf numFmtId="0" fontId="31" fillId="3" borderId="1" applyAlignment="1" pivotButton="0" quotePrefix="0" xfId="0">
      <alignment horizontal="center" vertical="center" wrapText="1"/>
    </xf>
    <xf numFmtId="3" fontId="4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2" fillId="8" borderId="1" applyAlignment="1" pivotButton="0" quotePrefix="0" xfId="0">
      <alignment horizontal="center" vertical="center" wrapText="1"/>
    </xf>
    <xf numFmtId="0" fontId="48" fillId="4" borderId="1" applyAlignment="1" pivotButton="0" quotePrefix="0" xfId="0">
      <alignment horizontal="center" vertical="center" wrapText="1"/>
    </xf>
    <xf numFmtId="0" fontId="49" fillId="4" borderId="1" applyAlignment="1" pivotButton="0" quotePrefix="0" xfId="0">
      <alignment horizontal="center" vertical="center" wrapText="1"/>
    </xf>
    <xf numFmtId="164" fontId="50" fillId="4" borderId="1" applyAlignment="1" pivotButton="0" quotePrefix="0" xfId="0">
      <alignment horizontal="center" vertical="center" wrapText="1"/>
    </xf>
    <xf numFmtId="3" fontId="51" fillId="4" borderId="1" applyAlignment="1" pivotButton="0" quotePrefix="0" xfId="0">
      <alignment horizontal="center" vertical="center" wrapText="1"/>
    </xf>
    <xf numFmtId="0" fontId="52" fillId="4" borderId="1" applyAlignment="1" pivotButton="0" quotePrefix="0" xfId="0">
      <alignment horizontal="center" vertical="center" wrapText="1"/>
    </xf>
    <xf numFmtId="0" fontId="53" fillId="5" borderId="1" applyAlignment="1" pivotButton="0" quotePrefix="0" xfId="0">
      <alignment horizontal="center" vertical="center" wrapText="1"/>
    </xf>
    <xf numFmtId="0" fontId="49" fillId="5" borderId="1" applyAlignment="1" pivotButton="0" quotePrefix="0" xfId="0">
      <alignment horizontal="center" vertical="center" wrapText="1"/>
    </xf>
    <xf numFmtId="4" fontId="54" fillId="5" borderId="1" applyAlignment="1" pivotButton="0" quotePrefix="0" xfId="0">
      <alignment horizontal="center" vertical="center" wrapText="1"/>
    </xf>
    <xf numFmtId="164" fontId="50" fillId="5" borderId="1" applyAlignment="1" pivotButton="0" quotePrefix="0" xfId="0">
      <alignment horizontal="center" vertical="center" wrapText="1"/>
    </xf>
    <xf numFmtId="3" fontId="51" fillId="5" borderId="1" applyAlignment="1" pivotButton="0" quotePrefix="0" xfId="0">
      <alignment horizontal="center" vertical="center" wrapText="1"/>
    </xf>
    <xf numFmtId="0" fontId="52" fillId="5" borderId="1" applyAlignment="1" pivotButton="0" quotePrefix="0" xfId="0">
      <alignment horizontal="center" vertical="center" wrapText="1"/>
    </xf>
    <xf numFmtId="0" fontId="48" fillId="5" borderId="1" applyAlignment="1" pivotButton="0" quotePrefix="0" xfId="0">
      <alignment horizontal="center" vertical="center" wrapText="1"/>
    </xf>
    <xf numFmtId="0" fontId="55" fillId="5" borderId="1" applyAlignment="1" pivotButton="0" quotePrefix="0" xfId="0">
      <alignment horizontal="center" vertical="center" wrapText="1"/>
    </xf>
    <xf numFmtId="0" fontId="56" fillId="3" borderId="1" applyAlignment="1" pivotButton="0" quotePrefix="0" xfId="0">
      <alignment horizontal="center" vertical="center" wrapText="1"/>
    </xf>
    <xf numFmtId="0" fontId="49" fillId="3" borderId="1" applyAlignment="1" pivotButton="0" quotePrefix="0" xfId="0">
      <alignment horizontal="center" vertical="center" wrapText="1"/>
    </xf>
    <xf numFmtId="0" fontId="47" fillId="3" borderId="1" applyAlignment="1" pivotButton="0" quotePrefix="0" xfId="0">
      <alignment horizontal="center" vertical="center" wrapText="1"/>
    </xf>
    <xf numFmtId="3" fontId="57" fillId="3" borderId="1" applyAlignment="1" pivotButton="0" quotePrefix="0" xfId="0">
      <alignment horizontal="center" vertical="center" wrapText="1"/>
    </xf>
    <xf numFmtId="0" fontId="55" fillId="3" borderId="1" applyAlignment="1" pivotButton="0" quotePrefix="0" xfId="0">
      <alignment horizontal="center" vertical="center" wrapText="1"/>
    </xf>
    <xf numFmtId="0" fontId="58" fillId="3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0" fontId="53" fillId="4" borderId="1" applyAlignment="1" pivotButton="0" quotePrefix="0" xfId="0">
      <alignment horizontal="center" vertical="center" wrapText="1"/>
    </xf>
    <xf numFmtId="164" fontId="54" fillId="4" borderId="1" applyAlignment="1" pivotButton="0" quotePrefix="0" xfId="0">
      <alignment horizontal="center" vertical="center" wrapText="1"/>
    </xf>
    <xf numFmtId="164" fontId="59" fillId="4" borderId="1" applyAlignment="1" pivotButton="0" quotePrefix="0" xfId="0">
      <alignment horizontal="center" vertical="center" wrapText="1"/>
    </xf>
    <xf numFmtId="0" fontId="55" fillId="4" borderId="1" applyAlignment="1" pivotButton="0" quotePrefix="0" xfId="0">
      <alignment horizontal="center" vertical="center" wrapText="1"/>
    </xf>
    <xf numFmtId="164" fontId="45" fillId="5" borderId="1" applyAlignment="1" pivotButton="0" quotePrefix="0" xfId="0">
      <alignment horizontal="center" vertical="center" wrapText="1"/>
    </xf>
    <xf numFmtId="164" fontId="59" fillId="5" borderId="1" applyAlignment="1" pivotButton="0" quotePrefix="0" xfId="0">
      <alignment horizontal="center" vertical="center" wrapText="1"/>
    </xf>
    <xf numFmtId="164" fontId="45" fillId="4" borderId="1" applyAlignment="1" pivotButton="0" quotePrefix="0" xfId="0">
      <alignment horizontal="center" vertical="center" wrapText="1"/>
    </xf>
    <xf numFmtId="0" fontId="5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Evolución TRM USD (COP)</a:t>
            </a:r>
          </a:p>
        </rich>
      </tx>
    </title>
    <plotArea>
      <lineChart>
        <grouping val="standard"/>
        <ser>
          <idx val="0"/>
          <order val="0"/>
          <tx>
            <strRef>
              <f>'📈 TRM Histórica'!D4</f>
            </strRef>
          </tx>
          <spPr>
            <a:ln xmlns:a="http://schemas.openxmlformats.org/drawingml/2006/main" w="20000">
              <a:solidFill>
                <a:srgbClr val="4F7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TRM Histórica'!$D$5:$D$14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F7CFF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4" customWidth="1" min="12" max="12"/>
  </cols>
  <sheetData>
    <row r="1" ht="32" customHeight="1">
      <c r="A1" s="1" t="inlineStr">
        <is>
          <t>💵  DOLAR-TRACK — Dashboard Analítico</t>
        </is>
      </c>
    </row>
    <row r="2" ht="18" customHeight="1">
      <c r="A2" s="2" t="inlineStr">
        <is>
          <t>Reto 3: Economía y Finanzas  |  Monitoreo de TRM, Inversionistas y Operaciones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16" customHeight="1">
      <c r="A4" s="4" t="inlineStr">
        <is>
          <t>TRM USD HOY</t>
        </is>
      </c>
      <c r="C4" s="5" t="inlineStr">
        <is>
          <t>TRM EUR HOY</t>
        </is>
      </c>
      <c r="E4" s="6" t="inlineStr">
        <is>
          <t>PROM. USD HIST.</t>
        </is>
      </c>
      <c r="G4" s="7" t="inlineStr">
        <is>
          <t>INVERSIONISTAS</t>
        </is>
      </c>
      <c r="I4" s="8" t="inlineStr">
        <is>
          <t>OPERACIONES</t>
        </is>
      </c>
      <c r="K4" s="9" t="inlineStr">
        <is>
          <t>ALERTAS</t>
        </is>
      </c>
      <c r="M4" s="3" t="n"/>
      <c r="N4" s="3" t="n"/>
    </row>
    <row r="5" ht="28" customHeight="1">
      <c r="A5" s="10" t="inlineStr">
        <is>
          <t>$ 4,180.90</t>
        </is>
      </c>
      <c r="C5" s="11" t="inlineStr">
        <is>
          <t>$ 4,540.80</t>
        </is>
      </c>
      <c r="E5" s="12" t="inlineStr">
        <is>
          <t>$ 4,105.46</t>
        </is>
      </c>
      <c r="G5" s="13" t="inlineStr">
        <is>
          <t>4</t>
        </is>
      </c>
      <c r="I5" s="14" t="inlineStr">
        <is>
          <t>6</t>
        </is>
      </c>
      <c r="K5" s="15" t="inlineStr">
        <is>
          <t>3</t>
        </is>
      </c>
      <c r="M5" s="3" t="n"/>
      <c r="N5" s="3" t="n"/>
    </row>
    <row r="6" ht="16" customHeight="1">
      <c r="A6" s="16" t="inlineStr">
        <is>
          <t>────────────</t>
        </is>
      </c>
      <c r="C6" s="17" t="inlineStr">
        <is>
          <t>────────────</t>
        </is>
      </c>
      <c r="E6" s="18" t="inlineStr">
        <is>
          <t>────────────</t>
        </is>
      </c>
      <c r="G6" s="19" t="inlineStr">
        <is>
          <t>────────────</t>
        </is>
      </c>
      <c r="I6" s="20" t="inlineStr">
        <is>
          <t>────────────</t>
        </is>
      </c>
      <c r="K6" s="21" t="inlineStr">
        <is>
          <t>────────────</t>
        </is>
      </c>
      <c r="M6" s="3" t="n"/>
      <c r="N6" s="3" t="n"/>
    </row>
    <row r="7" ht="14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20" customHeight="1">
      <c r="A9" s="22" t="inlineStr">
        <is>
          <t>📈  Historial TRM USD</t>
        </is>
      </c>
      <c r="F9" s="3" t="n"/>
      <c r="G9" s="23" t="inlineStr">
        <is>
          <t>📈  Historial TRM EUR</t>
        </is>
      </c>
      <c r="L9" s="3" t="n"/>
      <c r="M9" s="3" t="n"/>
      <c r="N9" s="3" t="n"/>
    </row>
    <row r="10" ht="22" customHeight="1">
      <c r="A10" s="24" t="inlineStr"/>
      <c r="B10" s="24" t="inlineStr"/>
      <c r="C10" s="24" t="inlineStr"/>
      <c r="D10" s="24" t="inlineStr"/>
      <c r="E10" s="24" t="inlineStr"/>
      <c r="F10" s="24" t="inlineStr"/>
      <c r="G10" s="24" t="inlineStr">
        <is>
          <t>Fecha</t>
        </is>
      </c>
      <c r="H10" s="24" t="inlineStr">
        <is>
          <t>TRM (COP)</t>
        </is>
      </c>
      <c r="I10" s="24" t="inlineStr">
        <is>
          <t>vs Promedio</t>
        </is>
      </c>
      <c r="J10" s="24" t="inlineStr">
        <is>
          <t>Señal</t>
        </is>
      </c>
      <c r="K10" s="24" t="inlineStr">
        <is>
          <t>Var. %</t>
        </is>
      </c>
      <c r="L10" s="3" t="n"/>
      <c r="M10" s="3" t="n"/>
      <c r="N10" s="3" t="n"/>
    </row>
    <row r="11" ht="17" customHeight="1">
      <c r="A11" s="25" t="inlineStr">
        <is>
          <t>2025-04-01</t>
        </is>
      </c>
      <c r="B11" s="26" t="n">
        <v>4050.5</v>
      </c>
      <c r="C11" s="27" t="n">
        <v>-54.96000000000004</v>
      </c>
      <c r="D11" s="28" t="inlineStr">
        <is>
          <t>🟡 MANTENER</t>
        </is>
      </c>
      <c r="E11" s="29" t="n">
        <v>-0.01338705041578776</v>
      </c>
      <c r="F11" s="3" t="n"/>
      <c r="G11" s="25" t="inlineStr">
        <is>
          <t>2025-04-01</t>
        </is>
      </c>
      <c r="H11" s="30" t="n">
        <v>4420.1</v>
      </c>
      <c r="I11" s="27" t="n">
        <v>-47.28999999999996</v>
      </c>
      <c r="J11" s="28" t="inlineStr">
        <is>
          <t>🟡 MANTENER</t>
        </is>
      </c>
      <c r="K11" s="29" t="n">
        <v>-0.01058559919774185</v>
      </c>
      <c r="L11" s="3" t="n"/>
      <c r="M11" s="3" t="n"/>
      <c r="N11" s="3" t="n"/>
    </row>
    <row r="12" ht="17" customHeight="1">
      <c r="A12" s="31" t="inlineStr">
        <is>
          <t>2025-04-02</t>
        </is>
      </c>
      <c r="B12" s="32" t="n">
        <v>4075.25</v>
      </c>
      <c r="C12" s="33" t="n">
        <v>-30.21000000000004</v>
      </c>
      <c r="D12" s="34" t="inlineStr">
        <is>
          <t>🟡 MANTENER</t>
        </is>
      </c>
      <c r="E12" s="35" t="n">
        <v>-0.007358493323525265</v>
      </c>
      <c r="F12" s="3" t="n"/>
      <c r="G12" s="31" t="inlineStr">
        <is>
          <t>2025-04-02</t>
        </is>
      </c>
      <c r="H12" s="36" t="n">
        <v>4445.3</v>
      </c>
      <c r="I12" s="33" t="n">
        <v>-22.09000000000015</v>
      </c>
      <c r="J12" s="34" t="inlineStr">
        <is>
          <t>🟡 MANTENER</t>
        </is>
      </c>
      <c r="K12" s="35" t="n">
        <v>-0.004944721638361581</v>
      </c>
      <c r="L12" s="3" t="n"/>
      <c r="M12" s="3" t="n"/>
      <c r="N12" s="3" t="n"/>
    </row>
    <row r="13" ht="17" customHeight="1">
      <c r="A13" s="25" t="inlineStr">
        <is>
          <t>2025-04-03</t>
        </is>
      </c>
      <c r="B13" s="26" t="n">
        <v>4102</v>
      </c>
      <c r="C13" s="27" t="n">
        <v>-3.460000000000036</v>
      </c>
      <c r="D13" s="28" t="inlineStr">
        <is>
          <t>🟡 MANTENER</t>
        </is>
      </c>
      <c r="E13" s="29" t="n">
        <v>-0.0008427801025950895</v>
      </c>
      <c r="F13" s="3" t="n"/>
      <c r="G13" s="25" t="inlineStr">
        <is>
          <t>2025-04-03</t>
        </is>
      </c>
      <c r="H13" s="30" t="n">
        <v>4462.75</v>
      </c>
      <c r="I13" s="27" t="n">
        <v>-4.640000000000327</v>
      </c>
      <c r="J13" s="28" t="inlineStr">
        <is>
          <t>🟡 MANTENER</t>
        </is>
      </c>
      <c r="K13" s="29" t="n">
        <v>-0.001038637772838352</v>
      </c>
      <c r="L13" s="3" t="n"/>
      <c r="M13" s="3" t="n"/>
      <c r="N13" s="3" t="n"/>
    </row>
    <row r="14" ht="17" customHeight="1">
      <c r="A14" s="31" t="inlineStr">
        <is>
          <t>2025-04-04</t>
        </is>
      </c>
      <c r="B14" s="32" t="n">
        <v>4088.75</v>
      </c>
      <c r="C14" s="33" t="n">
        <v>-16.71000000000004</v>
      </c>
      <c r="D14" s="34" t="inlineStr">
        <is>
          <t>🟡 MANTENER</t>
        </is>
      </c>
      <c r="E14" s="35" t="n">
        <v>-0.004070189455018447</v>
      </c>
      <c r="F14" s="3" t="n"/>
      <c r="G14" s="31" t="inlineStr">
        <is>
          <t>2025-04-04</t>
        </is>
      </c>
      <c r="H14" s="36" t="n">
        <v>4438.2</v>
      </c>
      <c r="I14" s="33" t="n">
        <v>-29.19000000000051</v>
      </c>
      <c r="J14" s="34" t="inlineStr">
        <is>
          <t>🟡 MANTENER</t>
        </is>
      </c>
      <c r="K14" s="35" t="n">
        <v>-0.006534016506282305</v>
      </c>
      <c r="L14" s="3" t="n"/>
      <c r="M14" s="3" t="n"/>
      <c r="N14" s="3" t="n"/>
    </row>
    <row r="15" ht="17" customHeight="1">
      <c r="A15" s="25" t="inlineStr">
        <is>
          <t>2025-04-07</t>
        </is>
      </c>
      <c r="B15" s="26" t="n">
        <v>4120.3</v>
      </c>
      <c r="C15" s="37" t="n">
        <v>14.84000000000015</v>
      </c>
      <c r="D15" s="28" t="inlineStr">
        <is>
          <t>🟡 MANTENER</t>
        </is>
      </c>
      <c r="E15" s="38" t="n">
        <v>0.003614698474714197</v>
      </c>
      <c r="F15" s="3" t="n"/>
      <c r="G15" s="25" t="inlineStr">
        <is>
          <t>2025-04-07</t>
        </is>
      </c>
      <c r="H15" s="30" t="n">
        <v>4478.5</v>
      </c>
      <c r="I15" s="37" t="n">
        <v>11.10999999999967</v>
      </c>
      <c r="J15" s="28" t="inlineStr">
        <is>
          <t>🟡 MANTENER</t>
        </is>
      </c>
      <c r="K15" s="38" t="n">
        <v>0.002486910701774341</v>
      </c>
      <c r="L15" s="3" t="n"/>
      <c r="M15" s="3" t="n"/>
      <c r="N15" s="3" t="n"/>
    </row>
    <row r="16" ht="17" customHeight="1">
      <c r="A16" s="31" t="inlineStr">
        <is>
          <t>2025-04-08</t>
        </is>
      </c>
      <c r="B16" s="32" t="n">
        <v>4135.1</v>
      </c>
      <c r="C16" s="39" t="n">
        <v>29.64000000000033</v>
      </c>
      <c r="D16" s="34" t="inlineStr">
        <is>
          <t>🟡 MANTENER</t>
        </is>
      </c>
      <c r="E16" s="40" t="n">
        <v>0.007219653826855048</v>
      </c>
      <c r="F16" s="3" t="n"/>
      <c r="G16" s="31" t="inlineStr">
        <is>
          <t>2025-04-08</t>
        </is>
      </c>
      <c r="H16" s="36" t="n">
        <v>4492</v>
      </c>
      <c r="I16" s="39" t="n">
        <v>24.60999999999967</v>
      </c>
      <c r="J16" s="34" t="inlineStr">
        <is>
          <t>🟡 MANTENER</t>
        </is>
      </c>
      <c r="K16" s="40" t="n">
        <v>0.005508809394299506</v>
      </c>
      <c r="L16" s="3" t="n"/>
      <c r="M16" s="3" t="n"/>
      <c r="N16" s="3" t="n"/>
    </row>
    <row r="17" ht="17" customHeight="1">
      <c r="A17" s="25" t="inlineStr">
        <is>
          <t>2025-04-09</t>
        </is>
      </c>
      <c r="B17" s="26" t="n">
        <v>4095.6</v>
      </c>
      <c r="C17" s="27" t="n">
        <v>-9.860000000000127</v>
      </c>
      <c r="D17" s="28" t="inlineStr">
        <is>
          <t>🟡 MANTENER</t>
        </is>
      </c>
      <c r="E17" s="29" t="n">
        <v>-0.002401679714331677</v>
      </c>
      <c r="F17" s="3" t="n"/>
      <c r="G17" s="25" t="inlineStr">
        <is>
          <t>2025-04-09</t>
        </is>
      </c>
      <c r="H17" s="30" t="n">
        <v>4455.65</v>
      </c>
      <c r="I17" s="27" t="n">
        <v>-11.74000000000069</v>
      </c>
      <c r="J17" s="28" t="inlineStr">
        <is>
          <t>🟡 MANTENER</t>
        </is>
      </c>
      <c r="K17" s="29" t="n">
        <v>-0.002627932640759076</v>
      </c>
      <c r="L17" s="3" t="n"/>
      <c r="M17" s="3" t="n"/>
      <c r="N17" s="3" t="n"/>
    </row>
    <row r="18" ht="17" customHeight="1">
      <c r="A18" s="31" t="inlineStr">
        <is>
          <t>2025-04-10</t>
        </is>
      </c>
      <c r="B18" s="32" t="n">
        <v>4060.4</v>
      </c>
      <c r="C18" s="33" t="n">
        <v>-45.05999999999995</v>
      </c>
      <c r="D18" s="34" t="inlineStr">
        <is>
          <t>🟡 MANTENER</t>
        </is>
      </c>
      <c r="E18" s="35" t="n">
        <v>-0.01097562757888274</v>
      </c>
      <c r="F18" s="3" t="n"/>
      <c r="G18" s="31" t="inlineStr">
        <is>
          <t>2025-04-10</t>
        </is>
      </c>
      <c r="H18" s="36" t="n">
        <v>4430.4</v>
      </c>
      <c r="I18" s="33" t="n">
        <v>-36.99000000000069</v>
      </c>
      <c r="J18" s="34" t="inlineStr">
        <is>
          <t>🟡 MANTENER</t>
        </is>
      </c>
      <c r="K18" s="35" t="n">
        <v>-0.008280002417519108</v>
      </c>
      <c r="L18" s="3" t="n"/>
      <c r="M18" s="3" t="n"/>
      <c r="N18" s="3" t="n"/>
    </row>
    <row r="19" ht="17" customHeight="1">
      <c r="A19" s="25" t="inlineStr">
        <is>
          <t>2025-04-11</t>
        </is>
      </c>
      <c r="B19" s="26" t="n">
        <v>4145.8</v>
      </c>
      <c r="C19" s="37" t="n">
        <v>40.34000000000015</v>
      </c>
      <c r="D19" s="28" t="inlineStr">
        <is>
          <t>🟡 MANTENER</t>
        </is>
      </c>
      <c r="E19" s="38" t="n">
        <v>0.009825939115227075</v>
      </c>
      <c r="F19" s="3" t="n"/>
      <c r="G19" s="25" t="inlineStr">
        <is>
          <t>2025-04-11</t>
        </is>
      </c>
      <c r="H19" s="30" t="n">
        <v>4510.2</v>
      </c>
      <c r="I19" s="37" t="n">
        <v>42.80999999999949</v>
      </c>
      <c r="J19" s="28" t="inlineStr">
        <is>
          <t>🟡 MANTENER</t>
        </is>
      </c>
      <c r="K19" s="38" t="n">
        <v>0.009582776520518577</v>
      </c>
      <c r="L19" s="3" t="n"/>
      <c r="M19" s="3" t="n"/>
      <c r="N19" s="3" t="n"/>
    </row>
    <row r="20" ht="17" customHeight="1">
      <c r="A20" s="31" t="inlineStr">
        <is>
          <t>2025-04-14</t>
        </is>
      </c>
      <c r="B20" s="32" t="n">
        <v>4180.9</v>
      </c>
      <c r="C20" s="39" t="n">
        <v>75.4399999999996</v>
      </c>
      <c r="D20" s="34" t="inlineStr">
        <is>
          <t>🟡 MANTENER</t>
        </is>
      </c>
      <c r="E20" s="40" t="n">
        <v>0.01837552917334467</v>
      </c>
      <c r="F20" s="3" t="n"/>
      <c r="G20" s="31" t="inlineStr">
        <is>
          <t>2025-04-14</t>
        </is>
      </c>
      <c r="H20" s="36" t="n">
        <v>4540.8</v>
      </c>
      <c r="I20" s="39" t="n">
        <v>73.40999999999985</v>
      </c>
      <c r="J20" s="34" t="inlineStr">
        <is>
          <t>🟡 MANTENER</t>
        </is>
      </c>
      <c r="K20" s="40" t="n">
        <v>0.01643241355690903</v>
      </c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</sheetData>
  <mergeCells count="22">
    <mergeCell ref="C6:D6"/>
    <mergeCell ref="I6:J6"/>
    <mergeCell ref="C5:D5"/>
    <mergeCell ref="E5:F5"/>
    <mergeCell ref="K5:L5"/>
    <mergeCell ref="A6:B6"/>
    <mergeCell ref="C4:D4"/>
    <mergeCell ref="A1:N1"/>
    <mergeCell ref="E4:F4"/>
    <mergeCell ref="G6:H6"/>
    <mergeCell ref="E6:F6"/>
    <mergeCell ref="A2:N2"/>
    <mergeCell ref="A5:B5"/>
    <mergeCell ref="G5:H5"/>
    <mergeCell ref="K6:L6"/>
    <mergeCell ref="I5:J5"/>
    <mergeCell ref="A4:B4"/>
    <mergeCell ref="G4:H4"/>
    <mergeCell ref="I4:J4"/>
    <mergeCell ref="K4:L4"/>
    <mergeCell ref="A9:E9"/>
    <mergeCell ref="G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7CFF"/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5" customWidth="1" min="4" max="4"/>
    <col width="15" customWidth="1" min="5" max="5"/>
    <col width="13" customWidth="1" min="6" max="6"/>
    <col width="13" customWidth="1" min="7" max="7"/>
    <col width="18" customWidth="1" min="8" max="8"/>
    <col width="2" customWidth="1" min="9" max="9"/>
    <col width="18" customWidth="1" min="10" max="10"/>
    <col width="14" customWidth="1" min="11" max="11"/>
  </cols>
  <sheetData>
    <row r="1" ht="32" customHeight="1">
      <c r="A1" s="1" t="inlineStr">
        <is>
          <t>📈  TRM Histórica — USD &amp; EUR</t>
        </is>
      </c>
      <c r="I1" s="3" t="n"/>
      <c r="J1" s="3" t="n"/>
    </row>
    <row r="2" ht="18" customHeight="1">
      <c r="A2" s="2" t="inlineStr">
        <is>
          <t>Registro diario de la Tasa Representativa del Mercado (COP)</t>
        </is>
      </c>
      <c r="I2" s="3" t="n"/>
      <c r="J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2" customHeight="1">
      <c r="A4" s="41" t="inlineStr">
        <is>
          <t>ID</t>
        </is>
      </c>
      <c r="B4" s="41" t="inlineStr">
        <is>
          <t>Fecha</t>
        </is>
      </c>
      <c r="C4" s="41" t="inlineStr">
        <is>
          <t>Moneda</t>
        </is>
      </c>
      <c r="D4" s="41" t="inlineStr">
        <is>
          <t>TRM (COP)</t>
        </is>
      </c>
      <c r="E4" s="41" t="inlineStr">
        <is>
          <t>Promedio Hist.</t>
        </is>
      </c>
      <c r="F4" s="41" t="inlineStr">
        <is>
          <t>Diferencia</t>
        </is>
      </c>
      <c r="G4" s="41" t="inlineStr">
        <is>
          <t>Variación %</t>
        </is>
      </c>
      <c r="H4" s="41" t="inlineStr">
        <is>
          <t>Señal</t>
        </is>
      </c>
      <c r="I4" s="3" t="n"/>
      <c r="J4" s="42" t="inlineStr">
        <is>
          <t>ESTADÍSTICAS</t>
        </is>
      </c>
    </row>
    <row r="5" ht="18" customHeight="1">
      <c r="A5" s="25" t="n">
        <v>11</v>
      </c>
      <c r="B5" s="25" t="inlineStr">
        <is>
          <t>2025-04-01</t>
        </is>
      </c>
      <c r="C5" s="43" t="inlineStr">
        <is>
          <t>EUR</t>
        </is>
      </c>
      <c r="D5" s="30" t="n">
        <v>4420.1</v>
      </c>
      <c r="E5" s="44" t="n">
        <v>4467.39</v>
      </c>
      <c r="F5" s="27" t="n">
        <v>-47.28999999999996</v>
      </c>
      <c r="G5" s="29" t="n">
        <v>-0.01058559919774185</v>
      </c>
      <c r="H5" s="28" t="inlineStr">
        <is>
          <t>🟡 MANTENER</t>
        </is>
      </c>
      <c r="I5" s="3" t="n"/>
      <c r="J5" s="45" t="inlineStr">
        <is>
          <t>USD — Promedio</t>
        </is>
      </c>
      <c r="K5" s="46" t="inlineStr">
        <is>
          <t>$ 4,105.46</t>
        </is>
      </c>
    </row>
    <row r="6" ht="18" customHeight="1">
      <c r="A6" s="31" t="n">
        <v>1</v>
      </c>
      <c r="B6" s="31" t="inlineStr">
        <is>
          <t>2025-04-01</t>
        </is>
      </c>
      <c r="C6" s="47" t="inlineStr">
        <is>
          <t>USD</t>
        </is>
      </c>
      <c r="D6" s="32" t="n">
        <v>4050.5</v>
      </c>
      <c r="E6" s="48" t="n">
        <v>4105.46</v>
      </c>
      <c r="F6" s="33" t="n">
        <v>-54.96000000000004</v>
      </c>
      <c r="G6" s="35" t="n">
        <v>-0.01338705041578776</v>
      </c>
      <c r="H6" s="34" t="inlineStr">
        <is>
          <t>🟡 MANTENER</t>
        </is>
      </c>
      <c r="I6" s="3" t="n"/>
      <c r="J6" s="45" t="inlineStr">
        <is>
          <t>USD — Mínimo</t>
        </is>
      </c>
      <c r="K6" s="49" t="inlineStr">
        <is>
          <t>$ 4,050.50</t>
        </is>
      </c>
    </row>
    <row r="7" ht="18" customHeight="1">
      <c r="A7" s="25" t="n">
        <v>12</v>
      </c>
      <c r="B7" s="25" t="inlineStr">
        <is>
          <t>2025-04-02</t>
        </is>
      </c>
      <c r="C7" s="43" t="inlineStr">
        <is>
          <t>EUR</t>
        </is>
      </c>
      <c r="D7" s="30" t="n">
        <v>4445.3</v>
      </c>
      <c r="E7" s="44" t="n">
        <v>4467.39</v>
      </c>
      <c r="F7" s="27" t="n">
        <v>-22.09000000000015</v>
      </c>
      <c r="G7" s="29" t="n">
        <v>-0.004944721638361581</v>
      </c>
      <c r="H7" s="28" t="inlineStr">
        <is>
          <t>🟡 MANTENER</t>
        </is>
      </c>
      <c r="I7" s="3" t="n"/>
      <c r="J7" s="45" t="inlineStr">
        <is>
          <t>USD — Máximo</t>
        </is>
      </c>
      <c r="K7" s="50" t="inlineStr">
        <is>
          <t>$ 4,180.90</t>
        </is>
      </c>
    </row>
    <row r="8" ht="18" customHeight="1">
      <c r="A8" s="31" t="n">
        <v>2</v>
      </c>
      <c r="B8" s="31" t="inlineStr">
        <is>
          <t>2025-04-02</t>
        </is>
      </c>
      <c r="C8" s="47" t="inlineStr">
        <is>
          <t>USD</t>
        </is>
      </c>
      <c r="D8" s="32" t="n">
        <v>4075.25</v>
      </c>
      <c r="E8" s="48" t="n">
        <v>4105.46</v>
      </c>
      <c r="F8" s="33" t="n">
        <v>-30.21000000000004</v>
      </c>
      <c r="G8" s="35" t="n">
        <v>-0.007358493323525265</v>
      </c>
      <c r="H8" s="34" t="inlineStr">
        <is>
          <t>🟡 MANTENER</t>
        </is>
      </c>
      <c r="I8" s="3" t="n"/>
      <c r="J8" s="45" t="inlineStr">
        <is>
          <t>USD — Desv.std</t>
        </is>
      </c>
      <c r="K8" s="51" t="inlineStr">
        <is>
          <t>$ 40.51</t>
        </is>
      </c>
    </row>
    <row r="9" ht="18" customHeight="1">
      <c r="A9" s="25" t="n">
        <v>13</v>
      </c>
      <c r="B9" s="25" t="inlineStr">
        <is>
          <t>2025-04-03</t>
        </is>
      </c>
      <c r="C9" s="43" t="inlineStr">
        <is>
          <t>EUR</t>
        </is>
      </c>
      <c r="D9" s="30" t="n">
        <v>4462.75</v>
      </c>
      <c r="E9" s="44" t="n">
        <v>4467.39</v>
      </c>
      <c r="F9" s="27" t="n">
        <v>-4.640000000000327</v>
      </c>
      <c r="G9" s="29" t="n">
        <v>-0.001038637772838352</v>
      </c>
      <c r="H9" s="28" t="inlineStr">
        <is>
          <t>🟡 MANTENER</t>
        </is>
      </c>
      <c r="I9" s="3" t="n"/>
      <c r="J9" s="45" t="inlineStr">
        <is>
          <t>USD — Coef.var</t>
        </is>
      </c>
      <c r="K9" s="52" t="inlineStr">
        <is>
          <t>0.9867%</t>
        </is>
      </c>
    </row>
    <row r="10" ht="18" customHeight="1">
      <c r="A10" s="31" t="n">
        <v>3</v>
      </c>
      <c r="B10" s="31" t="inlineStr">
        <is>
          <t>2025-04-03</t>
        </is>
      </c>
      <c r="C10" s="47" t="inlineStr">
        <is>
          <t>USD</t>
        </is>
      </c>
      <c r="D10" s="32" t="n">
        <v>4102</v>
      </c>
      <c r="E10" s="48" t="n">
        <v>4105.46</v>
      </c>
      <c r="F10" s="33" t="n">
        <v>-3.460000000000036</v>
      </c>
      <c r="G10" s="35" t="n">
        <v>-0.0008427801025950895</v>
      </c>
      <c r="H10" s="34" t="inlineStr">
        <is>
          <t>🟡 MANTENER</t>
        </is>
      </c>
      <c r="I10" s="3" t="n"/>
      <c r="J10" s="45" t="inlineStr"/>
      <c r="K10" s="53" t="inlineStr"/>
    </row>
    <row r="11" ht="18" customHeight="1">
      <c r="A11" s="25" t="n">
        <v>14</v>
      </c>
      <c r="B11" s="25" t="inlineStr">
        <is>
          <t>2025-04-04</t>
        </is>
      </c>
      <c r="C11" s="43" t="inlineStr">
        <is>
          <t>EUR</t>
        </is>
      </c>
      <c r="D11" s="30" t="n">
        <v>4438.2</v>
      </c>
      <c r="E11" s="44" t="n">
        <v>4467.39</v>
      </c>
      <c r="F11" s="27" t="n">
        <v>-29.19000000000051</v>
      </c>
      <c r="G11" s="29" t="n">
        <v>-0.006534016506282305</v>
      </c>
      <c r="H11" s="28" t="inlineStr">
        <is>
          <t>🟡 MANTENER</t>
        </is>
      </c>
      <c r="I11" s="3" t="n"/>
      <c r="J11" s="45" t="inlineStr">
        <is>
          <t>EUR — Promedio</t>
        </is>
      </c>
      <c r="K11" s="54" t="inlineStr">
        <is>
          <t>$ 4,467.39</t>
        </is>
      </c>
    </row>
    <row r="12" ht="18" customHeight="1">
      <c r="A12" s="31" t="n">
        <v>4</v>
      </c>
      <c r="B12" s="31" t="inlineStr">
        <is>
          <t>2025-04-04</t>
        </is>
      </c>
      <c r="C12" s="47" t="inlineStr">
        <is>
          <t>USD</t>
        </is>
      </c>
      <c r="D12" s="32" t="n">
        <v>4088.75</v>
      </c>
      <c r="E12" s="48" t="n">
        <v>4105.46</v>
      </c>
      <c r="F12" s="33" t="n">
        <v>-16.71000000000004</v>
      </c>
      <c r="G12" s="35" t="n">
        <v>-0.004070189455018447</v>
      </c>
      <c r="H12" s="34" t="inlineStr">
        <is>
          <t>🟡 MANTENER</t>
        </is>
      </c>
      <c r="I12" s="3" t="n"/>
      <c r="J12" s="45" t="inlineStr">
        <is>
          <t>EUR — Mínimo</t>
        </is>
      </c>
      <c r="K12" s="49" t="inlineStr">
        <is>
          <t>$ 4,420.10</t>
        </is>
      </c>
    </row>
    <row r="13" ht="18" customHeight="1">
      <c r="A13" s="25" t="n">
        <v>15</v>
      </c>
      <c r="B13" s="25" t="inlineStr">
        <is>
          <t>2025-04-07</t>
        </is>
      </c>
      <c r="C13" s="43" t="inlineStr">
        <is>
          <t>EUR</t>
        </is>
      </c>
      <c r="D13" s="30" t="n">
        <v>4478.5</v>
      </c>
      <c r="E13" s="44" t="n">
        <v>4467.39</v>
      </c>
      <c r="F13" s="37" t="n">
        <v>11.10999999999967</v>
      </c>
      <c r="G13" s="38" t="n">
        <v>0.002486910701774341</v>
      </c>
      <c r="H13" s="28" t="inlineStr">
        <is>
          <t>🟡 MANTENER</t>
        </is>
      </c>
      <c r="I13" s="3" t="n"/>
      <c r="J13" s="45" t="inlineStr">
        <is>
          <t>EUR — Máximo</t>
        </is>
      </c>
      <c r="K13" s="50" t="inlineStr">
        <is>
          <t>$ 4,540.80</t>
        </is>
      </c>
    </row>
    <row r="14" ht="18" customHeight="1">
      <c r="A14" s="31" t="n">
        <v>5</v>
      </c>
      <c r="B14" s="31" t="inlineStr">
        <is>
          <t>2025-04-07</t>
        </is>
      </c>
      <c r="C14" s="47" t="inlineStr">
        <is>
          <t>USD</t>
        </is>
      </c>
      <c r="D14" s="32" t="n">
        <v>4120.3</v>
      </c>
      <c r="E14" s="48" t="n">
        <v>4105.46</v>
      </c>
      <c r="F14" s="39" t="n">
        <v>14.84000000000015</v>
      </c>
      <c r="G14" s="40" t="n">
        <v>0.003614698474714197</v>
      </c>
      <c r="H14" s="34" t="inlineStr">
        <is>
          <t>🟡 MANTENER</t>
        </is>
      </c>
      <c r="I14" s="3" t="n"/>
      <c r="J14" s="45" t="inlineStr">
        <is>
          <t>EUR — Desv.std</t>
        </is>
      </c>
      <c r="K14" s="51" t="inlineStr">
        <is>
          <t>$ 38.09</t>
        </is>
      </c>
    </row>
    <row r="15" ht="18" customHeight="1">
      <c r="A15" s="25" t="n">
        <v>16</v>
      </c>
      <c r="B15" s="25" t="inlineStr">
        <is>
          <t>2025-04-08</t>
        </is>
      </c>
      <c r="C15" s="43" t="inlineStr">
        <is>
          <t>EUR</t>
        </is>
      </c>
      <c r="D15" s="30" t="n">
        <v>4492</v>
      </c>
      <c r="E15" s="44" t="n">
        <v>4467.39</v>
      </c>
      <c r="F15" s="37" t="n">
        <v>24.60999999999967</v>
      </c>
      <c r="G15" s="38" t="n">
        <v>0.005508809394299506</v>
      </c>
      <c r="H15" s="28" t="inlineStr">
        <is>
          <t>🟡 MANTENER</t>
        </is>
      </c>
      <c r="I15" s="3" t="n"/>
      <c r="J15" s="45" t="inlineStr">
        <is>
          <t>EUR — Coef.var</t>
        </is>
      </c>
      <c r="K15" s="52" t="inlineStr">
        <is>
          <t>0.8525%</t>
        </is>
      </c>
    </row>
    <row r="16" ht="18" customHeight="1">
      <c r="A16" s="31" t="n">
        <v>6</v>
      </c>
      <c r="B16" s="31" t="inlineStr">
        <is>
          <t>2025-04-08</t>
        </is>
      </c>
      <c r="C16" s="47" t="inlineStr">
        <is>
          <t>USD</t>
        </is>
      </c>
      <c r="D16" s="32" t="n">
        <v>4135.1</v>
      </c>
      <c r="E16" s="48" t="n">
        <v>4105.46</v>
      </c>
      <c r="F16" s="39" t="n">
        <v>29.64000000000033</v>
      </c>
      <c r="G16" s="40" t="n">
        <v>0.007219653826855048</v>
      </c>
      <c r="H16" s="34" t="inlineStr">
        <is>
          <t>🟡 MANTENER</t>
        </is>
      </c>
      <c r="I16" s="3" t="n"/>
      <c r="J16" s="3" t="n"/>
    </row>
    <row r="17" ht="18" customHeight="1">
      <c r="A17" s="25" t="n">
        <v>17</v>
      </c>
      <c r="B17" s="25" t="inlineStr">
        <is>
          <t>2025-04-09</t>
        </is>
      </c>
      <c r="C17" s="43" t="inlineStr">
        <is>
          <t>EUR</t>
        </is>
      </c>
      <c r="D17" s="30" t="n">
        <v>4455.65</v>
      </c>
      <c r="E17" s="44" t="n">
        <v>4467.39</v>
      </c>
      <c r="F17" s="27" t="n">
        <v>-11.74000000000069</v>
      </c>
      <c r="G17" s="29" t="n">
        <v>-0.002627932640759076</v>
      </c>
      <c r="H17" s="28" t="inlineStr">
        <is>
          <t>🟡 MANTENER</t>
        </is>
      </c>
      <c r="I17" s="3" t="n"/>
      <c r="J17" s="3" t="n"/>
    </row>
    <row r="18" ht="18" customHeight="1">
      <c r="A18" s="31" t="n">
        <v>7</v>
      </c>
      <c r="B18" s="31" t="inlineStr">
        <is>
          <t>2025-04-09</t>
        </is>
      </c>
      <c r="C18" s="47" t="inlineStr">
        <is>
          <t>USD</t>
        </is>
      </c>
      <c r="D18" s="32" t="n">
        <v>4095.6</v>
      </c>
      <c r="E18" s="48" t="n">
        <v>4105.46</v>
      </c>
      <c r="F18" s="33" t="n">
        <v>-9.860000000000127</v>
      </c>
      <c r="G18" s="35" t="n">
        <v>-0.002401679714331677</v>
      </c>
      <c r="H18" s="34" t="inlineStr">
        <is>
          <t>🟡 MANTENER</t>
        </is>
      </c>
      <c r="I18" s="3" t="n"/>
      <c r="J18" s="3" t="n"/>
    </row>
    <row r="19" ht="18" customHeight="1">
      <c r="A19" s="25" t="n">
        <v>18</v>
      </c>
      <c r="B19" s="25" t="inlineStr">
        <is>
          <t>2025-04-10</t>
        </is>
      </c>
      <c r="C19" s="43" t="inlineStr">
        <is>
          <t>EUR</t>
        </is>
      </c>
      <c r="D19" s="30" t="n">
        <v>4430.4</v>
      </c>
      <c r="E19" s="44" t="n">
        <v>4467.39</v>
      </c>
      <c r="F19" s="27" t="n">
        <v>-36.99000000000069</v>
      </c>
      <c r="G19" s="29" t="n">
        <v>-0.008280002417519108</v>
      </c>
      <c r="H19" s="28" t="inlineStr">
        <is>
          <t>🟡 MANTENER</t>
        </is>
      </c>
      <c r="I19" s="3" t="n"/>
      <c r="J19" s="3" t="n"/>
    </row>
    <row r="20" ht="18" customHeight="1">
      <c r="A20" s="31" t="n">
        <v>8</v>
      </c>
      <c r="B20" s="31" t="inlineStr">
        <is>
          <t>2025-04-10</t>
        </is>
      </c>
      <c r="C20" s="47" t="inlineStr">
        <is>
          <t>USD</t>
        </is>
      </c>
      <c r="D20" s="32" t="n">
        <v>4060.4</v>
      </c>
      <c r="E20" s="48" t="n">
        <v>4105.46</v>
      </c>
      <c r="F20" s="33" t="n">
        <v>-45.05999999999995</v>
      </c>
      <c r="G20" s="35" t="n">
        <v>-0.01097562757888274</v>
      </c>
      <c r="H20" s="34" t="inlineStr">
        <is>
          <t>🟡 MANTENER</t>
        </is>
      </c>
      <c r="I20" s="3" t="n"/>
      <c r="J20" s="3" t="n"/>
    </row>
    <row r="21" ht="18" customHeight="1">
      <c r="A21" s="25" t="n">
        <v>19</v>
      </c>
      <c r="B21" s="25" t="inlineStr">
        <is>
          <t>2025-04-11</t>
        </is>
      </c>
      <c r="C21" s="43" t="inlineStr">
        <is>
          <t>EUR</t>
        </is>
      </c>
      <c r="D21" s="30" t="n">
        <v>4510.2</v>
      </c>
      <c r="E21" s="44" t="n">
        <v>4467.39</v>
      </c>
      <c r="F21" s="37" t="n">
        <v>42.80999999999949</v>
      </c>
      <c r="G21" s="38" t="n">
        <v>0.009582776520518577</v>
      </c>
      <c r="H21" s="28" t="inlineStr">
        <is>
          <t>🟡 MANTENER</t>
        </is>
      </c>
      <c r="I21" s="3" t="n"/>
      <c r="J21" s="3" t="n"/>
    </row>
    <row r="22" ht="18" customHeight="1">
      <c r="A22" s="31" t="n">
        <v>9</v>
      </c>
      <c r="B22" s="31" t="inlineStr">
        <is>
          <t>2025-04-11</t>
        </is>
      </c>
      <c r="C22" s="47" t="inlineStr">
        <is>
          <t>USD</t>
        </is>
      </c>
      <c r="D22" s="32" t="n">
        <v>4145.8</v>
      </c>
      <c r="E22" s="48" t="n">
        <v>4105.46</v>
      </c>
      <c r="F22" s="39" t="n">
        <v>40.34000000000015</v>
      </c>
      <c r="G22" s="40" t="n">
        <v>0.009825939115227075</v>
      </c>
      <c r="H22" s="34" t="inlineStr">
        <is>
          <t>🟡 MANTENER</t>
        </is>
      </c>
      <c r="I22" s="3" t="n"/>
      <c r="J22" s="3" t="n"/>
    </row>
    <row r="23" ht="18" customHeight="1">
      <c r="A23" s="25" t="n">
        <v>20</v>
      </c>
      <c r="B23" s="25" t="inlineStr">
        <is>
          <t>2025-04-14</t>
        </is>
      </c>
      <c r="C23" s="43" t="inlineStr">
        <is>
          <t>EUR</t>
        </is>
      </c>
      <c r="D23" s="30" t="n">
        <v>4540.8</v>
      </c>
      <c r="E23" s="44" t="n">
        <v>4467.39</v>
      </c>
      <c r="F23" s="37" t="n">
        <v>73.40999999999985</v>
      </c>
      <c r="G23" s="38" t="n">
        <v>0.01643241355690903</v>
      </c>
      <c r="H23" s="28" t="inlineStr">
        <is>
          <t>🟡 MANTENER</t>
        </is>
      </c>
      <c r="I23" s="3" t="n"/>
      <c r="J23" s="3" t="n"/>
    </row>
    <row r="24" ht="18" customHeight="1">
      <c r="A24" s="31" t="n">
        <v>10</v>
      </c>
      <c r="B24" s="31" t="inlineStr">
        <is>
          <t>2025-04-14</t>
        </is>
      </c>
      <c r="C24" s="47" t="inlineStr">
        <is>
          <t>USD</t>
        </is>
      </c>
      <c r="D24" s="32" t="n">
        <v>4180.9</v>
      </c>
      <c r="E24" s="48" t="n">
        <v>4105.46</v>
      </c>
      <c r="F24" s="39" t="n">
        <v>75.4399999999996</v>
      </c>
      <c r="G24" s="40" t="n">
        <v>0.01837552917334467</v>
      </c>
      <c r="H24" s="34" t="inlineStr">
        <is>
          <t>🟡 MANTENER</t>
        </is>
      </c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AC9B2"/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14" customWidth="1" min="5" max="5"/>
    <col width="22" customWidth="1" min="6" max="6"/>
    <col width="24" customWidth="1" min="7" max="7"/>
    <col width="18" customWidth="1" min="8" max="8"/>
  </cols>
  <sheetData>
    <row r="1" ht="32" customHeight="1">
      <c r="A1" s="1" t="inlineStr">
        <is>
          <t>👤  Inversionistas — Perfil y Exposición Cambiaria</t>
        </is>
      </c>
      <c r="I1" s="3" t="n"/>
      <c r="J1" s="3" t="n"/>
    </row>
    <row r="2" ht="18" customHeight="1">
      <c r="A2" s="2" t="inlineStr">
        <is>
          <t>Capital, perfil de riesgo y exposición máxima recomendada en USD</t>
        </is>
      </c>
      <c r="I2" s="3" t="n"/>
      <c r="J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2" customHeight="1">
      <c r="A4" s="55" t="inlineStr">
        <is>
          <t>ID</t>
        </is>
      </c>
      <c r="B4" s="55" t="inlineStr">
        <is>
          <t>Nombre</t>
        </is>
      </c>
      <c r="C4" s="55" t="inlineStr">
        <is>
          <t>Capital COP</t>
        </is>
      </c>
      <c r="D4" s="55" t="inlineStr">
        <is>
          <t>Perfil</t>
        </is>
      </c>
      <c r="E4" s="55" t="inlineStr">
        <is>
          <t>% Exposición</t>
        </is>
      </c>
      <c r="F4" s="55" t="inlineStr">
        <is>
          <t>Capital Expuesto COP</t>
        </is>
      </c>
      <c r="G4" s="55" t="inlineStr">
        <is>
          <t>USD Posibles (TRM prom.)</t>
        </is>
      </c>
      <c r="H4" s="55" t="inlineStr">
        <is>
          <t>Categoría Riesgo</t>
        </is>
      </c>
      <c r="I4" s="3" t="n"/>
      <c r="J4" s="3" t="n"/>
    </row>
    <row r="5" ht="22" customHeight="1">
      <c r="A5" s="56" t="n">
        <v>3</v>
      </c>
      <c r="B5" s="57" t="inlineStr">
        <is>
          <t>Andres Rios</t>
        </is>
      </c>
      <c r="C5" s="58" t="n">
        <v>50000000</v>
      </c>
      <c r="D5" s="59" t="inlineStr">
        <is>
          <t>Agresivo</t>
        </is>
      </c>
      <c r="E5" s="60" t="n">
        <v>0.7</v>
      </c>
      <c r="F5" s="61" t="n">
        <v>35000000</v>
      </c>
      <c r="G5" s="62" t="n">
        <v>8525.232251684341</v>
      </c>
      <c r="H5" s="59" t="inlineStr">
        <is>
          <t>⚡ Alto Riesgo</t>
        </is>
      </c>
      <c r="I5" s="3" t="n"/>
      <c r="J5" s="3" t="n"/>
    </row>
    <row r="6" ht="22" customHeight="1">
      <c r="A6" s="63" t="n">
        <v>1</v>
      </c>
      <c r="B6" s="64" t="inlineStr">
        <is>
          <t>Carlos Mendez</t>
        </is>
      </c>
      <c r="C6" s="65" t="n">
        <v>10000000</v>
      </c>
      <c r="D6" s="66" t="inlineStr">
        <is>
          <t>Conservador</t>
        </is>
      </c>
      <c r="E6" s="67" t="n">
        <v>0.2</v>
      </c>
      <c r="F6" s="68" t="n">
        <v>2000000</v>
      </c>
      <c r="G6" s="69" t="n">
        <v>487.1561286676767</v>
      </c>
      <c r="H6" s="66" t="inlineStr">
        <is>
          <t>🛡 Bajo Riesgo</t>
        </is>
      </c>
      <c r="I6" s="3" t="n"/>
      <c r="J6" s="3" t="n"/>
    </row>
    <row r="7" ht="22" customHeight="1">
      <c r="A7" s="56" t="n">
        <v>2</v>
      </c>
      <c r="B7" s="57" t="inlineStr">
        <is>
          <t>Laura Jimenez</t>
        </is>
      </c>
      <c r="C7" s="58" t="n">
        <v>25000000</v>
      </c>
      <c r="D7" s="70" t="inlineStr">
        <is>
          <t>Moderado</t>
        </is>
      </c>
      <c r="E7" s="71" t="n">
        <v>0.4</v>
      </c>
      <c r="F7" s="61" t="n">
        <v>10000000</v>
      </c>
      <c r="G7" s="62" t="n">
        <v>2435.780643338383</v>
      </c>
      <c r="H7" s="70" t="inlineStr">
        <is>
          <t>⚖ Riesgo Medio</t>
        </is>
      </c>
      <c r="I7" s="3" t="n"/>
      <c r="J7" s="3" t="n"/>
    </row>
    <row r="8" ht="22" customHeight="1">
      <c r="A8" s="63" t="n">
        <v>4</v>
      </c>
      <c r="B8" s="64" t="inlineStr">
        <is>
          <t>Maria Fernandez</t>
        </is>
      </c>
      <c r="C8" s="65" t="n">
        <v>15000000</v>
      </c>
      <c r="D8" s="72" t="inlineStr">
        <is>
          <t>Moderado</t>
        </is>
      </c>
      <c r="E8" s="73" t="n">
        <v>0.4</v>
      </c>
      <c r="F8" s="68" t="n">
        <v>6000000</v>
      </c>
      <c r="G8" s="69" t="n">
        <v>1461.46838600303</v>
      </c>
      <c r="H8" s="72" t="inlineStr">
        <is>
          <t>⚖ Riesgo Medio</t>
        </is>
      </c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 ht="22" customHeight="1">
      <c r="A10" s="74" t="inlineStr">
        <is>
          <t>TOTALES</t>
        </is>
      </c>
      <c r="C10" s="75" t="n">
        <v>100000000</v>
      </c>
      <c r="D10" s="76" t="n"/>
      <c r="E10" s="76" t="n"/>
      <c r="F10" s="76" t="n"/>
      <c r="G10" s="76" t="n"/>
      <c r="H10" s="76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</sheetData>
  <mergeCells count="3">
    <mergeCell ref="A2:H2"/>
    <mergeCell ref="A10:B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0A500"/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11" customWidth="1" min="4" max="4"/>
    <col width="16" customWidth="1" min="5" max="5"/>
    <col width="14" customWidth="1" min="6" max="6"/>
    <col width="18" customWidth="1" min="7" max="7"/>
    <col width="20" customWidth="1" min="8" max="8"/>
  </cols>
  <sheetData>
    <row r="1" ht="32" customHeight="1">
      <c r="A1" s="1" t="inlineStr">
        <is>
          <t>💼  Operaciones de Compra / Venta de Divisas</t>
        </is>
      </c>
      <c r="I1" s="3" t="n"/>
      <c r="J1" s="3" t="n"/>
    </row>
    <row r="2" ht="18" customHeight="1">
      <c r="A2" s="2" t="inlineStr">
        <is>
          <t>Registro histórico de transacciones por inversionista</t>
        </is>
      </c>
      <c r="I2" s="3" t="n"/>
      <c r="J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22" customHeight="1">
      <c r="A4" s="77" t="inlineStr">
        <is>
          <t>ID</t>
        </is>
      </c>
      <c r="B4" s="77" t="inlineStr">
        <is>
          <t>Inversionista</t>
        </is>
      </c>
      <c r="C4" s="77" t="inlineStr">
        <is>
          <t>Moneda</t>
        </is>
      </c>
      <c r="D4" s="77" t="inlineStr">
        <is>
          <t>Tipo</t>
        </is>
      </c>
      <c r="E4" s="77" t="inlineStr">
        <is>
          <t>Monto USD/EUR</t>
        </is>
      </c>
      <c r="F4" s="77" t="inlineStr">
        <is>
          <t>TRM Usada</t>
        </is>
      </c>
      <c r="G4" s="77" t="inlineStr">
        <is>
          <t>Monto COP</t>
        </is>
      </c>
      <c r="H4" s="77" t="inlineStr">
        <is>
          <t>Fecha</t>
        </is>
      </c>
      <c r="I4" s="3" t="n"/>
      <c r="J4" s="3" t="n"/>
    </row>
    <row r="5" ht="20" customHeight="1">
      <c r="A5" s="56" t="n">
        <v>1</v>
      </c>
      <c r="B5" s="57" t="inlineStr">
        <is>
          <t>Carlos Mendez</t>
        </is>
      </c>
      <c r="C5" s="78" t="inlineStr">
        <is>
          <t>USD</t>
        </is>
      </c>
      <c r="D5" s="79" t="inlineStr">
        <is>
          <t>COMPRA</t>
        </is>
      </c>
      <c r="E5" s="62" t="n">
        <v>500</v>
      </c>
      <c r="F5" s="80" t="n">
        <v>4075.25</v>
      </c>
      <c r="G5" s="81" t="n">
        <v>2037625</v>
      </c>
      <c r="H5" s="82" t="inlineStr">
        <is>
          <t>2025-04-02 10:30</t>
        </is>
      </c>
      <c r="I5" s="3" t="n"/>
      <c r="J5" s="3" t="n"/>
    </row>
    <row r="6" ht="20" customHeight="1">
      <c r="A6" s="63" t="n">
        <v>4</v>
      </c>
      <c r="B6" s="64" t="inlineStr">
        <is>
          <t>Carlos Mendez</t>
        </is>
      </c>
      <c r="C6" s="83" t="inlineStr">
        <is>
          <t>EUR</t>
        </is>
      </c>
      <c r="D6" s="84" t="inlineStr">
        <is>
          <t>COMPRA</t>
        </is>
      </c>
      <c r="E6" s="85" t="n">
        <v>300</v>
      </c>
      <c r="F6" s="86" t="n">
        <v>4462.75</v>
      </c>
      <c r="G6" s="87" t="n">
        <v>1338825</v>
      </c>
      <c r="H6" s="88" t="inlineStr">
        <is>
          <t>2025-04-03 11:00</t>
        </is>
      </c>
      <c r="I6" s="3" t="n"/>
      <c r="J6" s="3" t="n"/>
    </row>
    <row r="7" ht="20" customHeight="1">
      <c r="A7" s="56" t="n">
        <v>2</v>
      </c>
      <c r="B7" s="57" t="inlineStr">
        <is>
          <t>Laura Jimenez</t>
        </is>
      </c>
      <c r="C7" s="78" t="inlineStr">
        <is>
          <t>USD</t>
        </is>
      </c>
      <c r="D7" s="79" t="inlineStr">
        <is>
          <t>COMPRA</t>
        </is>
      </c>
      <c r="E7" s="62" t="n">
        <v>1200</v>
      </c>
      <c r="F7" s="80" t="n">
        <v>4120.3</v>
      </c>
      <c r="G7" s="81" t="n">
        <v>4944360</v>
      </c>
      <c r="H7" s="82" t="inlineStr">
        <is>
          <t>2025-04-07 14:15</t>
        </is>
      </c>
      <c r="I7" s="3" t="n"/>
      <c r="J7" s="3" t="n"/>
    </row>
    <row r="8" ht="20" customHeight="1">
      <c r="A8" s="63" t="n">
        <v>3</v>
      </c>
      <c r="B8" s="64" t="inlineStr">
        <is>
          <t>Andres Rios</t>
        </is>
      </c>
      <c r="C8" s="89" t="inlineStr">
        <is>
          <t>USD</t>
        </is>
      </c>
      <c r="D8" s="90" t="inlineStr">
        <is>
          <t>VENTA</t>
        </is>
      </c>
      <c r="E8" s="69" t="n">
        <v>800</v>
      </c>
      <c r="F8" s="86" t="n">
        <v>4145.8</v>
      </c>
      <c r="G8" s="87" t="n">
        <v>3316640</v>
      </c>
      <c r="H8" s="88" t="inlineStr">
        <is>
          <t>2025-04-08 09:00</t>
        </is>
      </c>
      <c r="I8" s="3" t="n"/>
      <c r="J8" s="3" t="n"/>
    </row>
    <row r="9" ht="20" customHeight="1">
      <c r="A9" s="56" t="n">
        <v>5</v>
      </c>
      <c r="B9" s="57" t="inlineStr">
        <is>
          <t>Maria Fernandez</t>
        </is>
      </c>
      <c r="C9" s="78" t="inlineStr">
        <is>
          <t>USD</t>
        </is>
      </c>
      <c r="D9" s="79" t="inlineStr">
        <is>
          <t>COMPRA</t>
        </is>
      </c>
      <c r="E9" s="62" t="n">
        <v>2000</v>
      </c>
      <c r="F9" s="80" t="n">
        <v>4180.9</v>
      </c>
      <c r="G9" s="81" t="n">
        <v>8361800</v>
      </c>
      <c r="H9" s="82" t="inlineStr">
        <is>
          <t>2025-04-14 16:45</t>
        </is>
      </c>
      <c r="I9" s="3" t="n"/>
      <c r="J9" s="3" t="n"/>
    </row>
    <row r="10" ht="20" customHeight="1">
      <c r="A10" s="63" t="n">
        <v>6</v>
      </c>
      <c r="B10" s="64" t="inlineStr">
        <is>
          <t>Laura Jimenez</t>
        </is>
      </c>
      <c r="C10" s="83" t="inlineStr">
        <is>
          <t>EUR</t>
        </is>
      </c>
      <c r="D10" s="90" t="inlineStr">
        <is>
          <t>VENTA</t>
        </is>
      </c>
      <c r="E10" s="85" t="n">
        <v>600</v>
      </c>
      <c r="F10" s="86" t="n">
        <v>4540.8</v>
      </c>
      <c r="G10" s="87" t="n">
        <v>2724480</v>
      </c>
      <c r="H10" s="88" t="inlineStr">
        <is>
          <t>2025-04-14 17:30</t>
        </is>
      </c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91" t="inlineStr">
        <is>
          <t>RESUMEN POR TIPO DE OPERACIÓN</t>
        </is>
      </c>
      <c r="I12" s="3" t="n"/>
      <c r="J12" s="3" t="n"/>
    </row>
    <row r="13" ht="20" customHeight="1">
      <c r="A13" s="92" t="inlineStr">
        <is>
          <t>COMPRA</t>
        </is>
      </c>
      <c r="C13" s="93" t="inlineStr">
        <is>
          <t>4,000.00 USD</t>
        </is>
      </c>
      <c r="D13" s="94" t="n">
        <v>16682610</v>
      </c>
      <c r="F13" s="76" t="n"/>
      <c r="G13" s="76" t="n"/>
      <c r="H13" s="76" t="n"/>
      <c r="I13" s="3" t="n"/>
      <c r="J13" s="3" t="n"/>
    </row>
    <row r="14" ht="20" customHeight="1">
      <c r="A14" s="95" t="inlineStr">
        <is>
          <t>VENTA</t>
        </is>
      </c>
      <c r="C14" s="96" t="inlineStr">
        <is>
          <t>1,400.00 USD</t>
        </is>
      </c>
      <c r="D14" s="94" t="n">
        <v>6041120</v>
      </c>
      <c r="F14" s="76" t="n"/>
      <c r="G14" s="76" t="n"/>
      <c r="H14" s="76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</sheetData>
  <mergeCells count="7">
    <mergeCell ref="A12:H12"/>
    <mergeCell ref="D13:E13"/>
    <mergeCell ref="A2:H2"/>
    <mergeCell ref="A13:B13"/>
    <mergeCell ref="A14:B14"/>
    <mergeCell ref="D14:E1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4D6A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16" customWidth="1" min="4" max="4"/>
    <col width="14" customWidth="1" min="5" max="5"/>
    <col width="34" customWidth="1" min="6" max="6"/>
    <col width="20" customWidth="1" min="7" max="7"/>
  </cols>
  <sheetData>
    <row r="1" ht="32" customHeight="1">
      <c r="A1" s="1" t="inlineStr">
        <is>
          <t>🔔  Historial de Alertas de Inversión</t>
        </is>
      </c>
    </row>
    <row r="2" ht="18" customHeight="1">
      <c r="A2" s="2" t="inlineStr">
        <is>
          <t>Señales automáticas generadas por el sistema DolarTrack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22" customHeight="1">
      <c r="A4" s="97" t="inlineStr">
        <is>
          <t>ID</t>
        </is>
      </c>
      <c r="B4" s="97" t="inlineStr">
        <is>
          <t>Moneda</t>
        </is>
      </c>
      <c r="C4" s="97" t="inlineStr">
        <is>
          <t>TRM Analizada</t>
        </is>
      </c>
      <c r="D4" s="97" t="inlineStr">
        <is>
          <t>Promedio Hist.</t>
        </is>
      </c>
      <c r="E4" s="97" t="inlineStr">
        <is>
          <t>Diferencia</t>
        </is>
      </c>
      <c r="F4" s="97" t="inlineStr">
        <is>
          <t>Señal de Decisión</t>
        </is>
      </c>
      <c r="G4" s="97" t="inlineStr">
        <is>
          <t>Fecha</t>
        </is>
      </c>
      <c r="H4" s="3" t="n"/>
    </row>
    <row r="5" ht="22" customHeight="1">
      <c r="A5" s="56" t="n">
        <v>3</v>
      </c>
      <c r="B5" s="98" t="inlineStr">
        <is>
          <t>EUR</t>
        </is>
      </c>
      <c r="C5" s="99" t="n">
        <v>4540.8</v>
      </c>
      <c r="D5" s="80" t="n">
        <v>4462.39</v>
      </c>
      <c r="E5" s="100" t="n">
        <v>78.40999999999985</v>
      </c>
      <c r="F5" s="101" t="inlineStr">
        <is>
          <t>VENDER</t>
        </is>
      </c>
      <c r="G5" s="82" t="inlineStr">
        <is>
          <t>2025-04-14 17:30</t>
        </is>
      </c>
      <c r="H5" s="3" t="n"/>
    </row>
    <row r="6" ht="22" customHeight="1">
      <c r="A6" s="63" t="n">
        <v>1</v>
      </c>
      <c r="B6" s="89" t="inlineStr">
        <is>
          <t>USD</t>
        </is>
      </c>
      <c r="C6" s="102" t="n">
        <v>4180.9</v>
      </c>
      <c r="D6" s="86" t="n">
        <v>4095.41</v>
      </c>
      <c r="E6" s="103" t="n">
        <v>85.48999999999978</v>
      </c>
      <c r="F6" s="90" t="inlineStr">
        <is>
          <t>VENDER</t>
        </is>
      </c>
      <c r="G6" s="88" t="inlineStr">
        <is>
          <t>2025-04-14 16:45</t>
        </is>
      </c>
      <c r="H6" s="3" t="n"/>
    </row>
    <row r="7" ht="22" customHeight="1">
      <c r="A7" s="56" t="n">
        <v>2</v>
      </c>
      <c r="B7" s="78" t="inlineStr">
        <is>
          <t>USD</t>
        </is>
      </c>
      <c r="C7" s="104" t="n">
        <v>4120.3</v>
      </c>
      <c r="D7" s="80" t="n">
        <v>4095.41</v>
      </c>
      <c r="E7" s="100" t="n">
        <v>24.89000000000033</v>
      </c>
      <c r="F7" s="105" t="inlineStr">
        <is>
          <t>MANTENER</t>
        </is>
      </c>
      <c r="G7" s="82" t="inlineStr">
        <is>
          <t>2025-04-07 14:15</t>
        </is>
      </c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2026-05-11T23:10:03Z</dcterms:created>
  <dcterms:modified xmlns:dcterms="http://purl.org/dc/terms/" xmlns:xsi="http://www.w3.org/2001/XMLSchema-instance" xsi:type="dcterms:W3CDTF">2026-05-11T23:10:03Z</dcterms:modified>
</cp:coreProperties>
</file>